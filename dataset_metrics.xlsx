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helor-thesis\"/>
    </mc:Choice>
  </mc:AlternateContent>
  <xr:revisionPtr revIDLastSave="0" documentId="13_ncr:1_{04FD5B37-5F73-4DF7-BBB5-37F19B64EB89}" xr6:coauthVersionLast="47" xr6:coauthVersionMax="47" xr10:uidLastSave="{00000000-0000-0000-0000-000000000000}"/>
  <bookViews>
    <workbookView xWindow="-120" yWindow="-120" windowWidth="29040" windowHeight="15840" xr2:uid="{041E6A51-CA35-446A-B4E3-20C614F1B96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G40" i="1" s="1"/>
  <c r="G17" i="1" l="1"/>
  <c r="G29" i="1"/>
  <c r="G6" i="1"/>
  <c r="G18" i="1"/>
  <c r="G30" i="1"/>
  <c r="G19" i="1"/>
  <c r="G31" i="1"/>
  <c r="G32" i="1"/>
  <c r="G8" i="1"/>
  <c r="G20" i="1"/>
  <c r="G9" i="1"/>
  <c r="G21" i="1"/>
  <c r="G33" i="1"/>
  <c r="G22" i="1"/>
  <c r="G34" i="1"/>
  <c r="G11" i="1"/>
  <c r="G23" i="1"/>
  <c r="G35" i="1"/>
  <c r="G7" i="1"/>
  <c r="G10" i="1"/>
  <c r="G12" i="1"/>
  <c r="G24" i="1"/>
  <c r="G36" i="1"/>
  <c r="G13" i="1"/>
  <c r="G25" i="1"/>
  <c r="G37" i="1"/>
  <c r="G26" i="1"/>
  <c r="G38" i="1"/>
  <c r="G15" i="1"/>
  <c r="G39" i="1"/>
  <c r="G14" i="1"/>
  <c r="G27" i="1"/>
  <c r="G16" i="1"/>
  <c r="G28" i="1"/>
  <c r="G41" i="1" l="1"/>
</calcChain>
</file>

<file path=xl/sharedStrings.xml><?xml version="1.0" encoding="utf-8"?>
<sst xmlns="http://schemas.openxmlformats.org/spreadsheetml/2006/main" count="41" uniqueCount="41">
  <si>
    <t>main_category</t>
  </si>
  <si>
    <t>sub_category (?)</t>
  </si>
  <si>
    <t>count</t>
  </si>
  <si>
    <t>percentage</t>
  </si>
  <si>
    <t>build - linux</t>
  </si>
  <si>
    <t>build - bazel</t>
  </si>
  <si>
    <t>build - rsync</t>
  </si>
  <si>
    <t>build - dependency</t>
  </si>
  <si>
    <t>build - test(s) failed</t>
  </si>
  <si>
    <t>build - test guide</t>
  </si>
  <si>
    <t>build - test(s) timed out</t>
  </si>
  <si>
    <t>build - test(s) failed to build</t>
  </si>
  <si>
    <t>build - compiler</t>
  </si>
  <si>
    <t>build - symphony</t>
  </si>
  <si>
    <t>build - linker</t>
  </si>
  <si>
    <t>build - dependency error</t>
  </si>
  <si>
    <t>build - converter</t>
  </si>
  <si>
    <t>build - generating functional code failed</t>
  </si>
  <si>
    <t>build - system error</t>
  </si>
  <si>
    <t>build - fusa violation found</t>
  </si>
  <si>
    <t>build - formatting error</t>
  </si>
  <si>
    <t>build - shell execution</t>
  </si>
  <si>
    <t>build - codeowners validator</t>
  </si>
  <si>
    <t>build - ncar</t>
  </si>
  <si>
    <t>build - matlab</t>
  </si>
  <si>
    <t>build - codify</t>
  </si>
  <si>
    <t>build - driving approval automation tool (daat)</t>
  </si>
  <si>
    <t>build - memory</t>
  </si>
  <si>
    <t>build- python</t>
  </si>
  <si>
    <t>build - terminate without exception</t>
  </si>
  <si>
    <t>build - trlc</t>
  </si>
  <si>
    <t>infrastructure - matlab license</t>
  </si>
  <si>
    <t>infrastructure - bazel remote cache</t>
  </si>
  <si>
    <t>infrastructure - artifactory</t>
  </si>
  <si>
    <t>infrastructure - bes upload</t>
  </si>
  <si>
    <t>infrastructure - bazel test logs reporter</t>
  </si>
  <si>
    <t>unknown error</t>
  </si>
  <si>
    <t>corresponding numerical label</t>
  </si>
  <si>
    <t>infrastructure - ioexception</t>
  </si>
  <si>
    <t>build - invalid main repository mapping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</si>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</sst>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CAF9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169" fontId="0" fillId="0" borderId="0" xfId="1" applyNumberFormat="1" applyFont="1"/>
    <xf numFmtId="9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B051-80E8-495D-A34E-A95277EC5084}">
  <dimension ref="C5:M41"/>
  <sheetViews>
    <sheetView tabSelected="1" topLeftCell="A2" zoomScale="85" zoomScaleNormal="85" workbookViewId="0">
      <selection activeCell="I35" sqref="I35"/>
    </sheetView>
  </sheetViews>
  <sheetFormatPr baseColWidth="10" defaultRowHeight="15" x14ac:dyDescent="0.25"/>
  <cols>
    <col min="3" max="3" width="30.85546875" customWidth="1"/>
    <col min="4" max="4" width="43.42578125" customWidth="1"/>
    <col min="5" max="5" width="26.42578125" customWidth="1"/>
    <col min="9" max="9" width="59" customWidth="1"/>
  </cols>
  <sheetData>
    <row r="5" spans="3:13" ht="15" customHeight="1" x14ac:dyDescent="0.25">
      <c r="C5" t="s">
        <v>37</v>
      </c>
      <c r="D5" t="s">
        <v>0</v>
      </c>
      <c r="E5" t="s">
        <v>1</v>
      </c>
      <c r="F5" t="s">
        <v>2</v>
      </c>
      <c r="G5" t="s">
        <v>3</v>
      </c>
    </row>
    <row r="6" spans="3:13" ht="19.5" customHeight="1" x14ac:dyDescent="0.25">
      <c r="C6">
        <v>0</v>
      </c>
      <c r="D6" t="s">
        <v>5</v>
      </c>
      <c r="F6">
        <v>2154</v>
      </c>
      <c r="G6" s="2">
        <f>F6/F41</f>
        <v>0.12360130831468411</v>
      </c>
    </row>
    <row r="7" spans="3:13" x14ac:dyDescent="0.25">
      <c r="C7">
        <v>1</v>
      </c>
      <c r="D7" t="s">
        <v>22</v>
      </c>
      <c r="F7">
        <v>4</v>
      </c>
      <c r="G7" s="2">
        <f>F7/F41</f>
        <v>2.2952889194927413E-4</v>
      </c>
    </row>
    <row r="8" spans="3:13" x14ac:dyDescent="0.25">
      <c r="C8">
        <v>2</v>
      </c>
      <c r="D8" t="s">
        <v>25</v>
      </c>
      <c r="F8">
        <v>4</v>
      </c>
      <c r="G8" s="2">
        <f>F8/F41</f>
        <v>2.2952889194927413E-4</v>
      </c>
    </row>
    <row r="9" spans="3:13" x14ac:dyDescent="0.25">
      <c r="C9">
        <v>3</v>
      </c>
      <c r="D9" t="s">
        <v>12</v>
      </c>
      <c r="F9">
        <v>715</v>
      </c>
      <c r="G9" s="2">
        <f>F9/F41</f>
        <v>4.1028289435932751E-2</v>
      </c>
      <c r="M9" s="1"/>
    </row>
    <row r="10" spans="3:13" x14ac:dyDescent="0.25">
      <c r="C10">
        <v>4</v>
      </c>
      <c r="D10" t="s">
        <v>16</v>
      </c>
      <c r="F10">
        <v>163</v>
      </c>
      <c r="G10" s="2">
        <f>F10/F41</f>
        <v>9.3533023469329207E-3</v>
      </c>
    </row>
    <row r="11" spans="3:13" x14ac:dyDescent="0.25">
      <c r="C11">
        <v>5</v>
      </c>
      <c r="D11" t="s">
        <v>7</v>
      </c>
      <c r="F11">
        <v>98</v>
      </c>
      <c r="G11" s="2">
        <f>F11/F41</f>
        <v>5.6234578527572156E-3</v>
      </c>
    </row>
    <row r="12" spans="3:13" x14ac:dyDescent="0.25">
      <c r="C12">
        <v>6</v>
      </c>
      <c r="D12" t="s">
        <v>15</v>
      </c>
      <c r="F12">
        <v>72</v>
      </c>
      <c r="G12" s="2">
        <f>F12/F41</f>
        <v>4.1315200550869338E-3</v>
      </c>
    </row>
    <row r="13" spans="3:13" x14ac:dyDescent="0.25">
      <c r="C13">
        <v>7</v>
      </c>
      <c r="D13" t="s">
        <v>26</v>
      </c>
      <c r="F13">
        <v>12</v>
      </c>
      <c r="G13" s="2">
        <f>F13/F41</f>
        <v>6.885866758478223E-4</v>
      </c>
    </row>
    <row r="14" spans="3:13" x14ac:dyDescent="0.25">
      <c r="C14">
        <v>8</v>
      </c>
      <c r="D14" t="s">
        <v>20</v>
      </c>
      <c r="F14">
        <v>14</v>
      </c>
      <c r="G14" s="2">
        <f>F14/F41</f>
        <v>8.0335112182245946E-4</v>
      </c>
    </row>
    <row r="15" spans="3:13" x14ac:dyDescent="0.25">
      <c r="C15">
        <v>9</v>
      </c>
      <c r="D15" t="s">
        <v>19</v>
      </c>
      <c r="F15">
        <v>5</v>
      </c>
      <c r="G15" s="2">
        <f>F15/F41</f>
        <v>2.8691111493659262E-4</v>
      </c>
    </row>
    <row r="16" spans="3:13" x14ac:dyDescent="0.25">
      <c r="C16">
        <v>10</v>
      </c>
      <c r="D16" t="s">
        <v>17</v>
      </c>
      <c r="F16">
        <v>13</v>
      </c>
      <c r="G16" s="2">
        <f>F16/F41</f>
        <v>7.4596889883514082E-4</v>
      </c>
    </row>
    <row r="17" spans="3:7" x14ac:dyDescent="0.25">
      <c r="C17">
        <v>11</v>
      </c>
      <c r="D17" t="s">
        <v>39</v>
      </c>
      <c r="F17">
        <v>1</v>
      </c>
      <c r="G17" s="2">
        <f>F17/F41</f>
        <v>5.7382222987318532E-5</v>
      </c>
    </row>
    <row r="18" spans="3:7" x14ac:dyDescent="0.25">
      <c r="C18">
        <v>12</v>
      </c>
      <c r="D18" t="s">
        <v>14</v>
      </c>
      <c r="F18">
        <v>32</v>
      </c>
      <c r="G18" s="2">
        <f>F18/F41</f>
        <v>1.836231135594193E-3</v>
      </c>
    </row>
    <row r="19" spans="3:7" x14ac:dyDescent="0.25">
      <c r="C19">
        <v>13</v>
      </c>
      <c r="D19" t="s">
        <v>4</v>
      </c>
      <c r="F19">
        <v>177</v>
      </c>
      <c r="G19" s="2">
        <f>F19/F41</f>
        <v>1.015665346875538E-2</v>
      </c>
    </row>
    <row r="20" spans="3:7" x14ac:dyDescent="0.25">
      <c r="C20">
        <v>14</v>
      </c>
      <c r="D20" t="s">
        <v>24</v>
      </c>
      <c r="F20">
        <v>3</v>
      </c>
      <c r="G20" s="2">
        <f>F20/F41</f>
        <v>1.7214666896195557E-4</v>
      </c>
    </row>
    <row r="21" spans="3:7" x14ac:dyDescent="0.25">
      <c r="C21">
        <v>15</v>
      </c>
      <c r="D21" t="s">
        <v>27</v>
      </c>
      <c r="F21">
        <v>2</v>
      </c>
      <c r="G21" s="2">
        <f>F21/F41</f>
        <v>1.1476444597463706E-4</v>
      </c>
    </row>
    <row r="22" spans="3:7" x14ac:dyDescent="0.25">
      <c r="C22">
        <v>16</v>
      </c>
      <c r="D22" t="s">
        <v>23</v>
      </c>
      <c r="F22">
        <v>18</v>
      </c>
      <c r="G22" s="2">
        <f>F22/F41</f>
        <v>1.0328800137717334E-3</v>
      </c>
    </row>
    <row r="23" spans="3:7" x14ac:dyDescent="0.25">
      <c r="C23">
        <v>17</v>
      </c>
      <c r="D23" t="s">
        <v>28</v>
      </c>
      <c r="F23">
        <v>2</v>
      </c>
      <c r="G23" s="2">
        <f>F23/F41</f>
        <v>1.1476444597463706E-4</v>
      </c>
    </row>
    <row r="24" spans="3:7" x14ac:dyDescent="0.25">
      <c r="C24">
        <v>18</v>
      </c>
      <c r="D24" t="s">
        <v>6</v>
      </c>
      <c r="F24">
        <v>23</v>
      </c>
      <c r="G24" s="2">
        <f>F24/F41</f>
        <v>1.3197911287083262E-3</v>
      </c>
    </row>
    <row r="25" spans="3:7" x14ac:dyDescent="0.25">
      <c r="C25">
        <v>19</v>
      </c>
      <c r="D25" t="s">
        <v>21</v>
      </c>
      <c r="F25">
        <v>42</v>
      </c>
      <c r="G25" s="2">
        <f>F25/F41</f>
        <v>2.4100533654673783E-3</v>
      </c>
    </row>
    <row r="26" spans="3:7" x14ac:dyDescent="0.25">
      <c r="C26">
        <v>20</v>
      </c>
      <c r="D26" t="s">
        <v>13</v>
      </c>
      <c r="F26">
        <v>4</v>
      </c>
      <c r="G26" s="2">
        <f>F26/F41</f>
        <v>2.2952889194927413E-4</v>
      </c>
    </row>
    <row r="27" spans="3:7" x14ac:dyDescent="0.25">
      <c r="C27">
        <v>21</v>
      </c>
      <c r="D27" t="s">
        <v>18</v>
      </c>
      <c r="F27">
        <v>3</v>
      </c>
      <c r="G27" s="2">
        <f>F27/F41</f>
        <v>1.7214666896195557E-4</v>
      </c>
    </row>
    <row r="28" spans="3:7" x14ac:dyDescent="0.25">
      <c r="C28">
        <v>22</v>
      </c>
      <c r="D28" t="s">
        <v>29</v>
      </c>
      <c r="F28">
        <v>2</v>
      </c>
      <c r="G28" s="2">
        <f>F28/F41</f>
        <v>1.1476444597463706E-4</v>
      </c>
    </row>
    <row r="29" spans="3:7" x14ac:dyDescent="0.25">
      <c r="C29">
        <v>23</v>
      </c>
      <c r="D29" t="s">
        <v>9</v>
      </c>
      <c r="F29">
        <v>552</v>
      </c>
      <c r="G29" s="2">
        <f>F29/F41</f>
        <v>3.167498708899983E-2</v>
      </c>
    </row>
    <row r="30" spans="3:7" x14ac:dyDescent="0.25">
      <c r="C30">
        <v>24</v>
      </c>
      <c r="D30" t="s">
        <v>8</v>
      </c>
      <c r="F30">
        <v>7194</v>
      </c>
      <c r="G30" s="2">
        <f>F30/F41</f>
        <v>0.4128077121707695</v>
      </c>
    </row>
    <row r="31" spans="3:7" x14ac:dyDescent="0.25">
      <c r="C31">
        <v>25</v>
      </c>
      <c r="D31" t="s">
        <v>11</v>
      </c>
      <c r="F31">
        <v>264</v>
      </c>
      <c r="G31" s="2">
        <f>F31/F41</f>
        <v>1.5148906868652091E-2</v>
      </c>
    </row>
    <row r="32" spans="3:7" x14ac:dyDescent="0.25">
      <c r="C32">
        <v>26</v>
      </c>
      <c r="D32" t="s">
        <v>10</v>
      </c>
      <c r="F32">
        <v>135</v>
      </c>
      <c r="G32" s="2">
        <f>F32/F41</f>
        <v>7.7466001032880016E-3</v>
      </c>
    </row>
    <row r="33" spans="3:7" x14ac:dyDescent="0.25">
      <c r="C33">
        <v>27</v>
      </c>
      <c r="D33" t="s">
        <v>30</v>
      </c>
      <c r="F33">
        <v>19</v>
      </c>
      <c r="G33" s="2">
        <f>F33/F41</f>
        <v>1.0902622367590521E-3</v>
      </c>
    </row>
    <row r="34" spans="3:7" x14ac:dyDescent="0.25">
      <c r="C34">
        <v>28</v>
      </c>
      <c r="D34" t="s">
        <v>33</v>
      </c>
      <c r="F34">
        <v>25</v>
      </c>
      <c r="G34" s="2">
        <f>F34/F41</f>
        <v>1.4345555746829632E-3</v>
      </c>
    </row>
    <row r="35" spans="3:7" x14ac:dyDescent="0.25">
      <c r="C35">
        <v>29</v>
      </c>
      <c r="D35" t="s">
        <v>32</v>
      </c>
      <c r="F35">
        <v>5</v>
      </c>
      <c r="G35" s="2">
        <f>F35/F41</f>
        <v>2.8691111493659262E-4</v>
      </c>
    </row>
    <row r="36" spans="3:7" x14ac:dyDescent="0.25">
      <c r="C36">
        <v>30</v>
      </c>
      <c r="D36" t="s">
        <v>35</v>
      </c>
      <c r="F36">
        <v>56</v>
      </c>
      <c r="G36" s="2">
        <f>F36/F41</f>
        <v>3.2134044872898378E-3</v>
      </c>
    </row>
    <row r="37" spans="3:7" x14ac:dyDescent="0.25">
      <c r="C37">
        <v>31</v>
      </c>
      <c r="D37" t="s">
        <v>34</v>
      </c>
      <c r="F37">
        <v>2</v>
      </c>
      <c r="G37" s="2">
        <f>F37/F41</f>
        <v>1.1476444597463706E-4</v>
      </c>
    </row>
    <row r="38" spans="3:7" x14ac:dyDescent="0.25">
      <c r="C38">
        <v>32</v>
      </c>
      <c r="D38" t="s">
        <v>38</v>
      </c>
      <c r="F38">
        <v>9</v>
      </c>
      <c r="G38" s="2">
        <f>F38/F41</f>
        <v>5.1644000688586672E-4</v>
      </c>
    </row>
    <row r="39" spans="3:7" x14ac:dyDescent="0.25">
      <c r="C39">
        <v>33</v>
      </c>
      <c r="D39" t="s">
        <v>31</v>
      </c>
      <c r="F39">
        <v>1</v>
      </c>
      <c r="G39" s="2">
        <f>F39/F41</f>
        <v>5.7382222987318532E-5</v>
      </c>
    </row>
    <row r="40" spans="3:7" x14ac:dyDescent="0.25">
      <c r="C40">
        <v>34</v>
      </c>
      <c r="D40" t="s">
        <v>36</v>
      </c>
      <c r="F40">
        <v>5602</v>
      </c>
      <c r="G40" s="2">
        <f>F40/F41</f>
        <v>0.3214552131749584</v>
      </c>
    </row>
    <row r="41" spans="3:7" x14ac:dyDescent="0.25">
      <c r="E41" t="s">
        <v>40</v>
      </c>
      <c r="F41">
        <f>SUM(F6:F40)</f>
        <v>17427</v>
      </c>
      <c r="G41" s="3">
        <f>SUM(G6:G40)</f>
        <v>1</v>
      </c>
    </row>
  </sheetData>
  <sortState xmlns:xlrd2="http://schemas.microsoft.com/office/spreadsheetml/2017/richdata2" ref="C6:G39">
    <sortCondition ref="C5:C39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Werrlein</dc:creator>
  <cp:lastModifiedBy>Carmen Werrlein</cp:lastModifiedBy>
  <dcterms:created xsi:type="dcterms:W3CDTF">2024-11-23T09:59:26Z</dcterms:created>
  <dcterms:modified xsi:type="dcterms:W3CDTF">2024-11-23T10:50:48Z</dcterms:modified>
</cp:coreProperties>
</file>